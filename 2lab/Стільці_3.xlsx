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lesya/Downloads/"/>
    </mc:Choice>
  </mc:AlternateContent>
  <xr:revisionPtr revIDLastSave="0" documentId="13_ncr:1_{AF4F9F20-475A-AA44-85F1-14C90F631B7B}" xr6:coauthVersionLast="47" xr6:coauthVersionMax="47" xr10:uidLastSave="{00000000-0000-0000-0000-000000000000}"/>
  <bookViews>
    <workbookView xWindow="920" yWindow="6740" windowWidth="25600" windowHeight="13740" tabRatio="508" xr2:uid="{00000000-000D-0000-FFFF-FFFF00000000}"/>
  </bookViews>
  <sheets>
    <sheet name="Sensitivity Report 2" sheetId="33" r:id="rId1"/>
    <sheet name="Модель1" sheetId="25" r:id="rId2"/>
  </sheets>
  <definedNames>
    <definedName name="solver_adj" localSheetId="1" hidden="1">Модель1!$B$4:$E$4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bd" localSheetId="1" hidden="1">2</definedName>
    <definedName name="solver_itr" localSheetId="1" hidden="1">100</definedName>
    <definedName name="solver_lhs1" localSheetId="1" hidden="1">Модель1!$B$4:$E$4</definedName>
    <definedName name="solver_lhs2" localSheetId="1" hidden="1">Модель1!$H$10</definedName>
    <definedName name="solver_lhs3" localSheetId="1" hidden="1">Модель1!$H$6</definedName>
    <definedName name="solver_lhs4" localSheetId="1" hidden="1">Модель1!$H$7</definedName>
    <definedName name="solver_lhs5" localSheetId="1" hidden="1">Модель1!$H$8</definedName>
    <definedName name="solver_lhs6" localSheetId="1" hidden="1">Модель1!$H$9</definedName>
    <definedName name="solver_lin" localSheetId="1" hidden="1">1</definedName>
    <definedName name="solver_lva" localSheetId="1" hidden="1">2</definedName>
    <definedName name="solver_mip" localSheetId="1" hidden="1">5000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5000</definedName>
    <definedName name="solver_num" localSheetId="1" hidden="1">6</definedName>
    <definedName name="solver_nwt" localSheetId="1" hidden="1">1</definedName>
    <definedName name="solver_ofx" localSheetId="1" hidden="1">2</definedName>
    <definedName name="solver_opt" localSheetId="1" hidden="1">Модель1!$H$4</definedName>
    <definedName name="solver_piv" localSheetId="1" hidden="1">0.000001</definedName>
    <definedName name="solver_pre" localSheetId="1" hidden="1">0.000001</definedName>
    <definedName name="solver_pro" localSheetId="1" hidden="1">2</definedName>
    <definedName name="solver_rbv" localSheetId="1" hidden="1">1</definedName>
    <definedName name="solver_red" localSheetId="1" hidden="1">0.000001</definedName>
    <definedName name="solver_rel1" localSheetId="1" hidden="1">3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o" localSheetId="1" hidden="1">2</definedName>
    <definedName name="solver_rep" localSheetId="1" hidden="1">2</definedName>
    <definedName name="solver_rhs1" localSheetId="1" hidden="1">0</definedName>
    <definedName name="solver_rhs2" localSheetId="1" hidden="1">Модель1!$J$10</definedName>
    <definedName name="solver_rhs3" localSheetId="1" hidden="1">Модель1!$J$6</definedName>
    <definedName name="solver_rhs4" localSheetId="1" hidden="1">Модель1!$J$7</definedName>
    <definedName name="solver_rhs5" localSheetId="1" hidden="1">Модель1!$J$8</definedName>
    <definedName name="solver_rhs6" localSheetId="1" hidden="1">Модель1!$J$9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std" localSheetId="1" hidden="1">1</definedName>
    <definedName name="solver_tim" localSheetId="1" hidden="1">100</definedName>
    <definedName name="solver_tol" localSheetId="1" hidden="1">0.05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5" l="1"/>
  <c r="H7" i="25"/>
  <c r="H8" i="25"/>
  <c r="H9" i="25"/>
  <c r="H10" i="25"/>
  <c r="H4" i="25"/>
  <c r="L6" i="25" l="1"/>
  <c r="L7" i="25"/>
  <c r="L8" i="25"/>
  <c r="L9" i="25"/>
  <c r="L10" i="25"/>
</calcChain>
</file>

<file path=xl/sharedStrings.xml><?xml version="1.0" encoding="utf-8"?>
<sst xmlns="http://schemas.openxmlformats.org/spreadsheetml/2006/main" count="68" uniqueCount="55">
  <si>
    <t>&lt;</t>
  </si>
  <si>
    <t>Питомий прибуток</t>
  </si>
  <si>
    <t>Виготовлена к-ть</t>
  </si>
  <si>
    <t>Прибуток</t>
  </si>
  <si>
    <t>Сумарне споживання</t>
  </si>
  <si>
    <t>Початковий запас</t>
  </si>
  <si>
    <t>Кінцевий запас</t>
  </si>
  <si>
    <t xml:space="preserve">Потреба у деталях	</t>
  </si>
  <si>
    <t>Worksheet: [Стільці_3.xlsx]Модель1</t>
  </si>
  <si>
    <t>Cell</t>
  </si>
  <si>
    <t>Name</t>
  </si>
  <si>
    <t>$H$9</t>
  </si>
  <si>
    <t>Microsoft Excel 16.113 Sensitivity Report</t>
  </si>
  <si>
    <t>Variable Cells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</si>
  <si>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</si>
  <si>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</si>
  <si>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</si>
  <si>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</si>
  <si>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</si>
  <si>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</si>
  <si>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</si>
  <si>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</si>
  <si>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</si>
  <si>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</si>
  <si>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</si>
  <si>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</si>
  <si>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</si>
  <si>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</si>
  <si>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$B$4</t>
  </si>
  <si>
    <t>$C$4</t>
  </si>
  <si>
    <t>$D$4</t>
  </si>
  <si>
    <t>$E$4</t>
  </si>
  <si>
    <t>$H$10</t>
  </si>
  <si>
    <t>$H$6</t>
  </si>
  <si>
    <t>$H$7</t>
  </si>
  <si>
    <t>$H$8</t>
  </si>
  <si>
    <t>конвеєр А</t>
  </si>
  <si>
    <t>конвеєр Б</t>
  </si>
  <si>
    <t>Цех кінескопів, год</t>
  </si>
  <si>
    <t xml:space="preserve">Цех корпусів, год </t>
  </si>
  <si>
    <t xml:space="preserve">Ділянка збирання, год </t>
  </si>
  <si>
    <t>Astro.</t>
  </si>
  <si>
    <t>Cosmo</t>
  </si>
  <si>
    <t>Nova</t>
  </si>
  <si>
    <t>Vega</t>
  </si>
  <si>
    <t>Виготовлена к-ть Astro.</t>
  </si>
  <si>
    <t>Виготовлена к-ть Cosmo</t>
  </si>
  <si>
    <t>Виготовлена к-ть Nova</t>
  </si>
  <si>
    <t>Виготовлена к-ть Vega</t>
  </si>
  <si>
    <t>Ділянка збирання, год  Сумарне споживання</t>
  </si>
  <si>
    <t>конвеєр А Сумарне споживання</t>
  </si>
  <si>
    <t>конвеєр Б Сумарне споживання</t>
  </si>
  <si>
    <t>Цех кінескопів, год Сумарне споживання</t>
  </si>
  <si>
    <t>Цех корпусів, год  Сумарне споживання</t>
  </si>
  <si>
    <t>Report Created: 20.09.2026 3:11:35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</si>
</sst>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(&quot;$&quot;* #,##0.00_);_(&quot;$&quot;* \(#,##0.00\);_(&quot;$&quot;* &quot;-&quot;??_);_(@_)"/>
    <numFmt numFmtId="166" formatCode="_(&quot;$&quot;\ #,##0_);_(&quot;$&quot;\ \(#,##0\);_(&quot;$&quot;\ &quot;-&quot;??_);_(@_)"/>
    <numFmt numFmtId="168" formatCode="[$$-409]#,##0"/>
    <numFmt numFmtId="169" formatCode="[$$-409]#,##0.0000"/>
  </numFmts>
  <fonts count="8">
    <font>
      <sz val="10"/>
      <name val="MS Sans Serif"/>
    </font>
    <font>
      <sz val="10"/>
      <name val="MS Sans Serif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9"/>
      <name val="Arial"/>
      <family val="2"/>
    </font>
    <font>
      <b/>
      <sz val="10"/>
      <name val="MS Sans Serif"/>
    </font>
    <font>
      <b/>
      <sz val="10"/>
      <color indexed="18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horizontal="center" textRotation="90"/>
    </xf>
    <xf numFmtId="166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8" fontId="3" fillId="2" borderId="3" xfId="0" applyNumberFormat="1" applyFont="1" applyFill="1" applyBorder="1"/>
    <xf numFmtId="0" fontId="3" fillId="0" borderId="4" xfId="0" applyFont="1" applyBorder="1" applyAlignment="1">
      <alignment horizontal="centerContinuous"/>
    </xf>
    <xf numFmtId="168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9" fontId="3" fillId="0" borderId="0" xfId="0" applyNumberFormat="1" applyFont="1"/>
    <xf numFmtId="0" fontId="6" fillId="0" borderId="0" xfId="0" applyFont="1"/>
    <xf numFmtId="0" fontId="0" fillId="0" borderId="7" xfId="0" applyFill="1" applyBorder="1" applyAlignment="1"/>
    <xf numFmtId="0" fontId="0" fillId="0" borderId="8" xfId="0" applyFill="1" applyBorder="1" applyAlignment="1"/>
    <xf numFmtId="0" fontId="7" fillId="0" borderId="5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165A-5E0E-FC4B-B052-8C03ED8DF56D}">
  <dimension ref="A1:H21"/>
  <sheetViews>
    <sheetView showGridLines="0" tabSelected="1" topLeftCell="A14" workbookViewId="0">
      <selection sqref="A1:A3"/>
    </sheetView>
  </sheetViews>
  <sheetFormatPr baseColWidth="10" defaultRowHeight="13"/>
  <cols>
    <col min="1" max="1" width="2.33203125" customWidth="1"/>
    <col min="2" max="2" width="6.33203125" bestFit="1" customWidth="1"/>
    <col min="3" max="3" width="37.33203125" bestFit="1" customWidth="1"/>
    <col min="4" max="4" width="12.1640625" bestFit="1" customWidth="1"/>
    <col min="5" max="5" width="12.6640625" bestFit="1" customWidth="1"/>
    <col min="6" max="6" width="9.83203125" bestFit="1" customWidth="1"/>
    <col min="7" max="8" width="12.1640625" bestFit="1" customWidth="1"/>
  </cols>
  <sheetData>
    <row r="1" spans="1:8">
      <c r="A1" s="15" t="s">
        <v>12</v>
      </c>
    </row>
    <row r="2" spans="1:8">
      <c r="A2" s="15" t="s">
        <v>8</v>
      </c>
    </row>
    <row r="3" spans="1:8">
      <c r="A3" s="15" t="s">
        <v>54</v>
      </c>
    </row>
    <row r="6" spans="1:8" ht="14" thickBot="1">
      <c r="A6" t="s">
        <v>13</v>
      </c>
    </row>
    <row r="7" spans="1:8">
      <c r="B7" s="18"/>
      <c r="C7" s="18"/>
      <c r="D7" s="18" t="s">
        <v>14</v>
      </c>
      <c r="E7" s="18" t="s">
        <v>16</v>
      </c>
      <c r="F7" s="18" t="s">
        <v>18</v>
      </c>
      <c r="G7" s="18" t="s">
        <v>20</v>
      </c>
      <c r="H7" s="18" t="s">
        <v>20</v>
      </c>
    </row>
    <row r="8" spans="1:8" ht="14" thickBot="1">
      <c r="B8" s="19" t="s">
        <v>9</v>
      </c>
      <c r="C8" s="19" t="s">
        <v>10</v>
      </c>
      <c r="D8" s="19" t="s">
        <v>15</v>
      </c>
      <c r="E8" s="19" t="s">
        <v>17</v>
      </c>
      <c r="F8" s="19" t="s">
        <v>19</v>
      </c>
      <c r="G8" s="19" t="s">
        <v>21</v>
      </c>
      <c r="H8" s="19" t="s">
        <v>22</v>
      </c>
    </row>
    <row r="9" spans="1:8">
      <c r="B9" s="16" t="s">
        <v>28</v>
      </c>
      <c r="C9" s="16" t="s">
        <v>45</v>
      </c>
      <c r="D9" s="16">
        <v>30.545454545454547</v>
      </c>
      <c r="E9" s="16">
        <v>0</v>
      </c>
      <c r="F9" s="16">
        <v>58</v>
      </c>
      <c r="G9" s="16">
        <v>15.499999999999991</v>
      </c>
      <c r="H9" s="16">
        <v>9.2500000000000036</v>
      </c>
    </row>
    <row r="10" spans="1:8">
      <c r="B10" s="16" t="s">
        <v>29</v>
      </c>
      <c r="C10" s="16" t="s">
        <v>46</v>
      </c>
      <c r="D10" s="16">
        <v>281.81818181818181</v>
      </c>
      <c r="E10" s="16">
        <v>0</v>
      </c>
      <c r="F10" s="16">
        <v>39</v>
      </c>
      <c r="G10" s="16">
        <v>7.4000000000000012</v>
      </c>
      <c r="H10" s="16">
        <v>1.6315789473684201</v>
      </c>
    </row>
    <row r="11" spans="1:8">
      <c r="B11" s="16" t="s">
        <v>30</v>
      </c>
      <c r="C11" s="16" t="s">
        <v>47</v>
      </c>
      <c r="D11" s="16">
        <v>0</v>
      </c>
      <c r="E11" s="16">
        <v>-2.8181818181818166</v>
      </c>
      <c r="F11" s="16">
        <v>54</v>
      </c>
      <c r="G11" s="16">
        <v>2.8181818181818166</v>
      </c>
      <c r="H11" s="16">
        <v>1E+30</v>
      </c>
    </row>
    <row r="12" spans="1:8" ht="14" thickBot="1">
      <c r="B12" s="17" t="s">
        <v>31</v>
      </c>
      <c r="C12" s="17" t="s">
        <v>48</v>
      </c>
      <c r="D12" s="17">
        <v>0</v>
      </c>
      <c r="E12" s="17">
        <v>-36.454545454545453</v>
      </c>
      <c r="F12" s="17">
        <v>16</v>
      </c>
      <c r="G12" s="17">
        <v>36.454545454545453</v>
      </c>
      <c r="H12" s="17">
        <v>1E+30</v>
      </c>
    </row>
    <row r="14" spans="1:8" ht="14" thickBot="1">
      <c r="A14" t="s">
        <v>23</v>
      </c>
    </row>
    <row r="15" spans="1:8">
      <c r="B15" s="18"/>
      <c r="C15" s="18"/>
      <c r="D15" s="18" t="s">
        <v>14</v>
      </c>
      <c r="E15" s="18" t="s">
        <v>24</v>
      </c>
      <c r="F15" s="18" t="s">
        <v>26</v>
      </c>
      <c r="G15" s="18" t="s">
        <v>20</v>
      </c>
      <c r="H15" s="18" t="s">
        <v>20</v>
      </c>
    </row>
    <row r="16" spans="1:8" ht="14" thickBot="1">
      <c r="B16" s="19" t="s">
        <v>9</v>
      </c>
      <c r="C16" s="19" t="s">
        <v>10</v>
      </c>
      <c r="D16" s="19" t="s">
        <v>15</v>
      </c>
      <c r="E16" s="19" t="s">
        <v>25</v>
      </c>
      <c r="F16" s="19" t="s">
        <v>27</v>
      </c>
      <c r="G16" s="19" t="s">
        <v>21</v>
      </c>
      <c r="H16" s="19" t="s">
        <v>22</v>
      </c>
    </row>
    <row r="17" spans="2:8">
      <c r="B17" s="16" t="s">
        <v>32</v>
      </c>
      <c r="C17" s="16" t="s">
        <v>49</v>
      </c>
      <c r="D17" s="16">
        <v>183.27272727272728</v>
      </c>
      <c r="E17" s="16">
        <v>0</v>
      </c>
      <c r="F17" s="16">
        <v>1170</v>
      </c>
      <c r="G17" s="16">
        <v>1E+30</v>
      </c>
      <c r="H17" s="16">
        <v>986.72727272727263</v>
      </c>
    </row>
    <row r="18" spans="2:8">
      <c r="B18" s="16" t="s">
        <v>33</v>
      </c>
      <c r="C18" s="16" t="s">
        <v>50</v>
      </c>
      <c r="D18" s="16">
        <v>716.36363636363637</v>
      </c>
      <c r="E18" s="16">
        <v>0</v>
      </c>
      <c r="F18" s="16">
        <v>1147</v>
      </c>
      <c r="G18" s="16">
        <v>1E+30</v>
      </c>
      <c r="H18" s="16">
        <v>430.63636363636363</v>
      </c>
    </row>
    <row r="19" spans="2:8">
      <c r="B19" s="16" t="s">
        <v>34</v>
      </c>
      <c r="C19" s="16" t="s">
        <v>51</v>
      </c>
      <c r="D19" s="16">
        <v>152.72727272727275</v>
      </c>
      <c r="E19" s="16">
        <v>0</v>
      </c>
      <c r="F19" s="16">
        <v>1199</v>
      </c>
      <c r="G19" s="16">
        <v>1E+30</v>
      </c>
      <c r="H19" s="16">
        <v>1046.2727272727273</v>
      </c>
    </row>
    <row r="20" spans="2:8">
      <c r="B20" s="16" t="s">
        <v>35</v>
      </c>
      <c r="C20" s="16" t="s">
        <v>52</v>
      </c>
      <c r="D20" s="16">
        <v>1280</v>
      </c>
      <c r="E20" s="16">
        <v>8.9090909090909083</v>
      </c>
      <c r="F20" s="16">
        <v>1280</v>
      </c>
      <c r="G20" s="16">
        <v>336</v>
      </c>
      <c r="H20" s="16">
        <v>775</v>
      </c>
    </row>
    <row r="21" spans="2:8" ht="14" thickBot="1">
      <c r="B21" s="17" t="s">
        <v>11</v>
      </c>
      <c r="C21" s="17" t="s">
        <v>53</v>
      </c>
      <c r="D21" s="17">
        <v>404</v>
      </c>
      <c r="E21" s="17">
        <v>3.3636363636363642</v>
      </c>
      <c r="F21" s="17">
        <v>404</v>
      </c>
      <c r="G21" s="17">
        <v>452.25</v>
      </c>
      <c r="H21" s="17">
        <v>84.000000000000014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zoomScale="126" workbookViewId="0">
      <selection activeCell="H4" sqref="H4"/>
    </sheetView>
  </sheetViews>
  <sheetFormatPr baseColWidth="10" defaultColWidth="8.83203125" defaultRowHeight="12"/>
  <cols>
    <col min="1" max="1" width="18.1640625" style="1" customWidth="1"/>
    <col min="2" max="7" width="6.1640625" style="1" bestFit="1" customWidth="1"/>
    <col min="8" max="8" width="12.1640625" style="1" customWidth="1"/>
    <col min="9" max="9" width="2.1640625" style="7" customWidth="1"/>
    <col min="10" max="10" width="7" style="1" customWidth="1"/>
    <col min="11" max="11" width="7.1640625" style="1" customWidth="1"/>
    <col min="12" max="12" width="14.1640625" style="1" bestFit="1" customWidth="1"/>
    <col min="13" max="16384" width="8.83203125" style="1"/>
  </cols>
  <sheetData>
    <row r="1" spans="1:13">
      <c r="A1" s="4"/>
    </row>
    <row r="2" spans="1:13" ht="35">
      <c r="B2" s="5" t="s">
        <v>41</v>
      </c>
      <c r="C2" s="5" t="s">
        <v>42</v>
      </c>
      <c r="D2" s="5" t="s">
        <v>43</v>
      </c>
      <c r="E2" s="5" t="s">
        <v>44</v>
      </c>
      <c r="F2" s="5"/>
      <c r="G2" s="5"/>
    </row>
    <row r="3" spans="1:13" ht="15" thickBot="1">
      <c r="A3" s="1" t="s">
        <v>1</v>
      </c>
      <c r="B3" s="6">
        <v>58</v>
      </c>
      <c r="C3" s="6">
        <v>39</v>
      </c>
      <c r="D3" s="6">
        <v>54</v>
      </c>
      <c r="E3" s="6">
        <v>16</v>
      </c>
      <c r="F3" s="6"/>
      <c r="G3" s="6"/>
      <c r="H3" s="2" t="s">
        <v>3</v>
      </c>
    </row>
    <row r="4" spans="1:13" ht="13" thickBot="1">
      <c r="A4" s="1" t="s">
        <v>2</v>
      </c>
      <c r="B4" s="8">
        <v>30.545454545454547</v>
      </c>
      <c r="C4" s="9">
        <v>281.81818181818181</v>
      </c>
      <c r="D4" s="9">
        <v>0</v>
      </c>
      <c r="E4" s="9">
        <v>0</v>
      </c>
      <c r="F4" s="9"/>
      <c r="G4" s="9"/>
      <c r="H4" s="10">
        <f>SUMPRODUCT(B4:E4, B3:E3)</f>
        <v>12762.545454545454</v>
      </c>
      <c r="I4" s="12"/>
      <c r="M4" s="14"/>
    </row>
    <row r="5" spans="1:13" ht="35.25" customHeight="1">
      <c r="B5" s="11" t="s">
        <v>7</v>
      </c>
      <c r="C5" s="11"/>
      <c r="D5" s="11"/>
      <c r="E5" s="11"/>
      <c r="F5" s="11"/>
      <c r="G5" s="11"/>
      <c r="H5" s="3" t="s">
        <v>4</v>
      </c>
      <c r="I5" s="3"/>
      <c r="J5" s="3" t="s">
        <v>5</v>
      </c>
      <c r="K5" s="3" t="s">
        <v>6</v>
      </c>
    </row>
    <row r="6" spans="1:13">
      <c r="A6" s="1" t="s">
        <v>36</v>
      </c>
      <c r="B6" s="7">
        <v>5</v>
      </c>
      <c r="C6" s="7">
        <v>2</v>
      </c>
      <c r="D6" s="7">
        <v>1</v>
      </c>
      <c r="E6" s="7">
        <v>2</v>
      </c>
      <c r="F6" s="7"/>
      <c r="G6" s="7"/>
      <c r="H6" s="1">
        <f>SUMPRODUCT(B6:E6, $B$4:$E$4)</f>
        <v>716.36363636363637</v>
      </c>
      <c r="I6" s="13" t="s">
        <v>0</v>
      </c>
      <c r="J6" s="1">
        <v>1147</v>
      </c>
      <c r="L6" s="1" t="str">
        <f t="shared" ref="L6:L16" si="0">IF(K6&lt;0,A6&amp;" закончились","")</f>
        <v/>
      </c>
    </row>
    <row r="7" spans="1:13">
      <c r="A7" s="1" t="s">
        <v>37</v>
      </c>
      <c r="B7" s="7">
        <v>5</v>
      </c>
      <c r="C7" s="7">
        <v>0</v>
      </c>
      <c r="D7" s="7">
        <v>1</v>
      </c>
      <c r="E7" s="7">
        <v>3</v>
      </c>
      <c r="F7" s="7"/>
      <c r="G7" s="7"/>
      <c r="H7" s="1">
        <f>SUMPRODUCT(B7:E7, $B$4:$E$4)</f>
        <v>152.72727272727275</v>
      </c>
      <c r="I7" s="13" t="s">
        <v>0</v>
      </c>
      <c r="J7" s="1">
        <v>1199</v>
      </c>
      <c r="L7" s="1" t="str">
        <f t="shared" si="0"/>
        <v/>
      </c>
    </row>
    <row r="8" spans="1:13">
      <c r="A8" s="1" t="s">
        <v>38</v>
      </c>
      <c r="B8" s="7">
        <v>5</v>
      </c>
      <c r="C8" s="7">
        <v>4</v>
      </c>
      <c r="D8" s="7">
        <v>6</v>
      </c>
      <c r="E8" s="7">
        <v>4</v>
      </c>
      <c r="F8" s="7"/>
      <c r="G8" s="7"/>
      <c r="H8" s="1">
        <f>SUMPRODUCT(B8:E8, $B$4:$E$4)</f>
        <v>1280</v>
      </c>
      <c r="I8" s="13" t="s">
        <v>0</v>
      </c>
      <c r="J8" s="1">
        <v>1280</v>
      </c>
      <c r="L8" s="1" t="str">
        <f t="shared" si="0"/>
        <v/>
      </c>
    </row>
    <row r="9" spans="1:13">
      <c r="A9" s="1" t="s">
        <v>39</v>
      </c>
      <c r="B9" s="7">
        <v>4</v>
      </c>
      <c r="C9" s="7">
        <v>1</v>
      </c>
      <c r="D9" s="7">
        <v>1</v>
      </c>
      <c r="E9" s="7">
        <v>5</v>
      </c>
      <c r="F9" s="7"/>
      <c r="G9" s="7"/>
      <c r="H9" s="1">
        <f>SUMPRODUCT(B9:E9, $B$4:$E$4)</f>
        <v>404</v>
      </c>
      <c r="I9" s="13" t="s">
        <v>0</v>
      </c>
      <c r="J9" s="1">
        <v>404</v>
      </c>
      <c r="L9" s="1" t="str">
        <f t="shared" si="0"/>
        <v/>
      </c>
    </row>
    <row r="10" spans="1:13">
      <c r="A10" s="1" t="s">
        <v>40</v>
      </c>
      <c r="B10" s="7">
        <v>6</v>
      </c>
      <c r="C10" s="7">
        <v>0</v>
      </c>
      <c r="D10" s="7">
        <v>3</v>
      </c>
      <c r="E10" s="7">
        <v>0</v>
      </c>
      <c r="F10" s="7"/>
      <c r="G10" s="7"/>
      <c r="H10" s="1">
        <f>SUMPRODUCT(B10:E10, $B$4:$E$4)</f>
        <v>183.27272727272728</v>
      </c>
      <c r="I10" s="13" t="s">
        <v>0</v>
      </c>
      <c r="J10" s="1">
        <v>1170</v>
      </c>
      <c r="L10" s="1" t="str">
        <f t="shared" si="0"/>
        <v/>
      </c>
    </row>
    <row r="11" spans="1:13">
      <c r="B11" s="7"/>
      <c r="C11" s="7"/>
      <c r="D11" s="7"/>
      <c r="E11" s="7"/>
      <c r="F11" s="7"/>
      <c r="G11" s="7"/>
      <c r="I11" s="13"/>
    </row>
    <row r="12" spans="1:13">
      <c r="B12" s="7"/>
      <c r="C12" s="7"/>
      <c r="D12" s="7"/>
      <c r="E12" s="7"/>
      <c r="F12" s="7"/>
      <c r="G12" s="7"/>
      <c r="I12" s="13"/>
    </row>
    <row r="13" spans="1:13">
      <c r="B13" s="7"/>
      <c r="C13" s="7"/>
      <c r="D13" s="7"/>
      <c r="E13" s="7"/>
      <c r="F13" s="7"/>
      <c r="G13" s="7"/>
      <c r="I13" s="13"/>
    </row>
    <row r="14" spans="1:13">
      <c r="B14" s="7"/>
      <c r="C14" s="7"/>
      <c r="D14" s="7"/>
      <c r="E14" s="7"/>
      <c r="F14" s="7"/>
      <c r="G14" s="7"/>
      <c r="I14" s="13"/>
    </row>
    <row r="15" spans="1:13">
      <c r="B15" s="7"/>
      <c r="C15" s="7"/>
      <c r="D15" s="7"/>
      <c r="E15" s="7"/>
      <c r="F15" s="7"/>
      <c r="G15" s="7"/>
      <c r="I15" s="13"/>
    </row>
    <row r="16" spans="1:13">
      <c r="B16" s="7"/>
      <c r="C16" s="7"/>
      <c r="D16" s="7"/>
      <c r="E16" s="7"/>
      <c r="F16" s="7"/>
      <c r="G16" s="7"/>
      <c r="I16" s="13"/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2</vt:lpstr>
      <vt:lpstr>Модель1</vt:lpstr>
    </vt:vector>
  </TitlesOfParts>
  <Company>SoftWindows Registered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 (appears on printouts)</dc:creator>
  <cp:lastModifiedBy>liashko lesya</cp:lastModifiedBy>
  <dcterms:created xsi:type="dcterms:W3CDTF">1996-08-07T20:23:38Z</dcterms:created>
  <dcterms:modified xsi:type="dcterms:W3CDTF">2026-09-21T07:16:10Z</dcterms:modified>
</cp:coreProperties>
</file>